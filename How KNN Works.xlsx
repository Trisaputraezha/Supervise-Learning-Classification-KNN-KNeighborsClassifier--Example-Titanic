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enyimpanan Utama File\Documents\S6\Machine learning\T6\"/>
    </mc:Choice>
  </mc:AlternateContent>
  <xr:revisionPtr revIDLastSave="0" documentId="13_ncr:1_{F2BE98C0-DA58-40EF-B9A6-3F144147E4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nds On" sheetId="2" r:id="rId1"/>
    <sheet name="Sheet1" sheetId="1" r:id="rId2"/>
  </sheets>
  <definedNames>
    <definedName name="_xlnm._FilterDatabase" localSheetId="1" hidden="1">Sheet1!$O$17:$S$37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1" i="2" l="1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40" i="2"/>
  <c r="S22" i="2"/>
  <c r="S31" i="2"/>
  <c r="S28" i="2"/>
  <c r="S21" i="2"/>
  <c r="S29" i="2"/>
  <c r="S33" i="2"/>
  <c r="S20" i="2"/>
  <c r="S35" i="2"/>
  <c r="S27" i="2"/>
  <c r="S25" i="2"/>
  <c r="S23" i="2"/>
  <c r="S36" i="2"/>
  <c r="S38" i="2"/>
  <c r="S26" i="2"/>
  <c r="S32" i="2"/>
  <c r="S34" i="2"/>
  <c r="S30" i="2"/>
  <c r="S37" i="2"/>
  <c r="S39" i="2"/>
  <c r="S24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20" i="2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S37" i="1"/>
  <c r="S36" i="1"/>
  <c r="S34" i="1"/>
  <c r="S33" i="1"/>
  <c r="S28" i="1"/>
  <c r="S27" i="1"/>
  <c r="S18" i="1"/>
  <c r="S21" i="1"/>
  <c r="S20" i="1"/>
  <c r="S26" i="1"/>
  <c r="S35" i="1"/>
  <c r="S32" i="1"/>
  <c r="S29" i="1"/>
  <c r="S25" i="1"/>
  <c r="S22" i="1"/>
  <c r="S19" i="1"/>
  <c r="S23" i="1"/>
  <c r="S24" i="1"/>
  <c r="S30" i="1"/>
  <c r="S31" i="1"/>
  <c r="L19" i="1"/>
  <c r="L18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</calcChain>
</file>

<file path=xl/sharedStrings.xml><?xml version="1.0" encoding="utf-8"?>
<sst xmlns="http://schemas.openxmlformats.org/spreadsheetml/2006/main" count="283" uniqueCount="38">
  <si>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</si>
  <si>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</si>
  <si>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</si>
  <si>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</si>
  <si>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</si>
  <si>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</si>
  <si>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</si>
  <si>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</si>
  <si>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X1 = 4</t>
  </si>
  <si>
    <t>X2 = 5</t>
  </si>
  <si>
    <t>Menggunakan jarak euclidean, untuk menghitung jarak antara titik baru (X1 = 4, X2 = 5) dari setiap titik data.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</si>
  <si>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</si>
  <si>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</si>
  <si>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</si>
  <si>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</si>
  <si>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</si>
  <si>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</si>
  <si>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</si>
  <si>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</si>
  <si>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</si>
  <si>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</si>
  <si>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3 - 6 Pemilihan Jumlah Tetangga (K = 3) dan identifikasi tetangga terdekat</t>
  </si>
  <si>
    <t>4. Visualisasi Persebaran Data (BEFORE)</t>
  </si>
  <si>
    <t>Visualisasi Persebaran Data Setelah Menggunakan Model KNN (AFTER)</t>
  </si>
  <si>
    <t>Menggunakan jarak euclidean, untuk menghitung jarak antara titik baru (X1 = 6, X2 = 5) dari setiap titik data.</t>
  </si>
  <si>
    <t>Jarak dari (6,5)</t>
  </si>
  <si>
    <t>ID 7 = Jarak 1,414213562 = Kelas A</t>
  </si>
  <si>
    <t>ID 6 = Jarak 2 = Kelas B</t>
  </si>
  <si>
    <t>ID 5= Jarak 2,236067977 = Kelas B</t>
  </si>
  <si>
    <t>3 - 6 Pemilihan Jumlah Tetangga (K = 5) dan identifikasi tetangga terdekat</t>
  </si>
  <si>
    <t># Tentukan 5 tetangga terdekat</t>
  </si>
  <si>
    <t>Mayoritas adalah A (2 suara B, 3 suara A)</t>
  </si>
  <si>
    <r>
      <t>Maka titik baru (X1 = 6, X2 = 5) akan diklasifikasikan ke kelas A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5</t>
    </r>
  </si>
  <si>
    <t>ID 8 = Jarak 2,236067977 = Kelas A</t>
  </si>
  <si>
    <t>ID 14 = Jarak 2,828427125 = Kelas A</t>
  </si>
  <si>
    <t>Titik</t>
  </si>
  <si>
    <t>X1 = 5</t>
  </si>
  <si>
    <t>X2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</si>
</sst>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(Sheet1!$E$6,Sheet1!$E$7,Sheet1!$E$8,Sheet1!$E$12,Sheet1!$E$13,Sheet1!$E$15,Sheet1!$E$18,Sheet1!$E$19,Sheet1!$E$22,Sheet1!$E$23,Sheet1!$E$25)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C-445A-AA34-1469A764BE59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(Sheet1!$D$9:$D$11,Sheet1!$D$14,Sheet1!$D$16:$D$17,Sheet1!$D$20:$D$21,Sheet1!$D$24)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</c:numCache>
            </c:numRef>
          </c:xVal>
          <c:yVal>
            <c:numRef>
              <c:f>(Sheet1!$E$9:$E$11,Sheet1!$E$14,Sheet1!$E$16:$E$17,Sheet1!$E$20:$E$21,Sheet1!$E$24)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AC-445A-AA34-1469A764BE59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EAC-445A-AA34-1469A764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5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3640122002089"/>
          <c:y val="0.16588457512175142"/>
          <c:w val="0.73254680830045804"/>
          <c:h val="0.70687195735433972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(Sheet1!$AB$38,Sheet1!$AB$41,Sheet1!$AB$44,Sheet1!$AB$45,Sheet1!$AB$49,Sheet1!$AB$50,Sheet1!$AB$51,Sheet1!$AB$53,Sheet1!$AB$54,Sheet1!$AB$55,Sheet1!$AB$57)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10</c:v>
                </c:pt>
              </c:numCache>
            </c:numRef>
          </c:xVal>
          <c:yVal>
            <c:numRef>
              <c:f>(Sheet1!$AC$38,Sheet1!$AC$41,Sheet1!$AC$44,Sheet1!$AC$45,Sheet1!$AC$49,Sheet1!$AC$50,Sheet1!$AC$51,Sheet1!$AC$53,Sheet1!$AC$54,Sheet1!$AC$55,Sheet1!$AC$57)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C-4987-A48D-F6A706BE2699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(Sheet1!$AB$39,Sheet1!$AB$40,Sheet1!$AB$42,Sheet1!$AB$43,Sheet1!$AB$46,Sheet1!$AB$47,Sheet1!$AB$48,Sheet1!$AB$52,Sheet1!$AB$56)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9</c:v>
                </c:pt>
              </c:numCache>
            </c:numRef>
          </c:xVal>
          <c:yVal>
            <c:numRef>
              <c:f>(Sheet1!$AC$39,Sheet1!$AC$40,Sheet1!$AC$42,Sheet1!$AC$43,Sheet1!$AC$46,Sheet1!$AC$47,Sheet1!$AC$48,Sheet1!$AC$52,Sheet1!$AC$56)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BC-4987-A48D-F6A706BE2699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6BC-4987-A48D-F6A706BE2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0-4715-8A32-A87B44C29121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60-4715-8A32-A87B44C29121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760-4715-8A32-A87B44C29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5-4595-9CE2-AC53AD4FFA33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85-4595-9CE2-AC53AD4FFA33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E85-4595-9CE2-AC53AD4FF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95250</xdr:rowOff>
    </xdr:from>
    <xdr:to>
      <xdr:col>12</xdr:col>
      <xdr:colOff>67156</xdr:colOff>
      <xdr:row>15</xdr:row>
      <xdr:rowOff>133409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D3C135-7D5D-4085-A862-4A4143D65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518410"/>
          <a:ext cx="3473296" cy="40391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11</xdr:row>
      <xdr:rowOff>190448</xdr:rowOff>
    </xdr:from>
    <xdr:to>
      <xdr:col>39</xdr:col>
      <xdr:colOff>330418</xdr:colOff>
      <xdr:row>25</xdr:row>
      <xdr:rowOff>24193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8F6167-7621-4637-A1A4-EEDB31F13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39</xdr:row>
      <xdr:rowOff>24019</xdr:rowOff>
    </xdr:from>
    <xdr:to>
      <xdr:col>39</xdr:col>
      <xdr:colOff>273327</xdr:colOff>
      <xdr:row>53</xdr:row>
      <xdr:rowOff>100219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F2646D-09AD-4874-809D-5A929963A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443318</xdr:colOff>
      <xdr:row>43</xdr:row>
      <xdr:rowOff>45411</xdr:rowOff>
    </xdr:from>
    <xdr:to>
      <xdr:col>36</xdr:col>
      <xdr:colOff>360493</xdr:colOff>
      <xdr:row>49</xdr:row>
      <xdr:rowOff>29675</xdr:rowOff>
    </xdr:to>
    <xdr:sp macro="" textlink="">
      <xdr:nvSpPr>
        <xdr:cNvPr id="5" name="Freeform 11">
          <a:extLst>
            <a:ext uri="{FF2B5EF4-FFF2-40B4-BE49-F238E27FC236}">
              <a16:creationId xmlns:a16="http://schemas.microsoft.com/office/drawing/2014/main" id="{5F02C0AF-178C-4927-8B7E-33A5A86EF877}"/>
            </a:ext>
          </a:extLst>
        </xdr:cNvPr>
        <xdr:cNvSpPr/>
      </xdr:nvSpPr>
      <xdr:spPr>
        <a:xfrm>
          <a:off x="21992678" y="8572191"/>
          <a:ext cx="1136375" cy="108154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37</xdr:row>
      <xdr:rowOff>24019</xdr:rowOff>
    </xdr:from>
    <xdr:to>
      <xdr:col>39</xdr:col>
      <xdr:colOff>273327</xdr:colOff>
      <xdr:row>51</xdr:row>
      <xdr:rowOff>100219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165652</xdr:colOff>
      <xdr:row>41</xdr:row>
      <xdr:rowOff>140753</xdr:rowOff>
    </xdr:from>
    <xdr:to>
      <xdr:col>35</xdr:col>
      <xdr:colOff>82826</xdr:colOff>
      <xdr:row>47</xdr:row>
      <xdr:rowOff>125017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054391" y="8787796"/>
          <a:ext cx="114300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A70E-D378-4AAF-BEFE-66D4A9E80C6C}">
  <dimension ref="A1:AE59"/>
  <sheetViews>
    <sheetView tabSelected="1" topLeftCell="A4" zoomScale="40" zoomScaleNormal="40" workbookViewId="0">
      <selection activeCell="A3" sqref="A3"/>
    </sheetView>
  </sheetViews>
  <sheetFormatPr defaultRowHeight="14.4" x14ac:dyDescent="0.3"/>
  <cols>
    <col min="12" max="12" width="14.109375" customWidth="1"/>
    <col min="19" max="19" width="14.109375" customWidth="1"/>
    <col min="31" max="31" width="10.44140625" customWidth="1"/>
  </cols>
  <sheetData>
    <row r="1" spans="1:30" ht="14.4" customHeight="1" x14ac:dyDescent="0.3">
      <c r="A1" s="11"/>
      <c r="B1" s="11"/>
      <c r="C1" s="11"/>
    </row>
    <row r="2" spans="1:30" x14ac:dyDescent="0.3">
      <c r="A2" s="11"/>
      <c r="B2" s="11"/>
      <c r="C2" s="11"/>
    </row>
    <row r="3" spans="1:30" x14ac:dyDescent="0.3">
      <c r="A3" s="11"/>
      <c r="B3" s="11"/>
      <c r="C3" s="11"/>
    </row>
    <row r="4" spans="1:30" ht="46.2" x14ac:dyDescent="0.85">
      <c r="J4" s="14" t="s">
        <v>6</v>
      </c>
      <c r="K4" s="14"/>
      <c r="L4" s="14"/>
      <c r="M4" s="14"/>
      <c r="N4" s="14"/>
    </row>
    <row r="6" spans="1:30" x14ac:dyDescent="0.3">
      <c r="C6" s="3" t="s">
        <v>13</v>
      </c>
    </row>
    <row r="7" spans="1:30" x14ac:dyDescent="0.3">
      <c r="C7" s="1" t="s">
        <v>0</v>
      </c>
      <c r="D7" s="1" t="s">
        <v>1</v>
      </c>
      <c r="E7" s="1" t="s">
        <v>2</v>
      </c>
      <c r="F7" s="1" t="s">
        <v>3</v>
      </c>
      <c r="H7" s="6" t="s">
        <v>35</v>
      </c>
      <c r="I7" s="6" t="s">
        <v>7</v>
      </c>
    </row>
    <row r="8" spans="1:30" x14ac:dyDescent="0.3">
      <c r="C8" s="2">
        <v>1</v>
      </c>
      <c r="D8" s="2">
        <v>1</v>
      </c>
      <c r="E8" s="2">
        <v>1</v>
      </c>
      <c r="F8" s="2" t="s">
        <v>4</v>
      </c>
      <c r="H8" s="7" t="s">
        <v>36</v>
      </c>
      <c r="I8">
        <v>6</v>
      </c>
    </row>
    <row r="9" spans="1:30" x14ac:dyDescent="0.3">
      <c r="C9" s="2">
        <v>2</v>
      </c>
      <c r="D9" s="2">
        <v>2</v>
      </c>
      <c r="E9" s="2">
        <v>1</v>
      </c>
      <c r="F9" s="2" t="s">
        <v>4</v>
      </c>
      <c r="H9" s="7" t="s">
        <v>37</v>
      </c>
      <c r="I9">
        <v>5</v>
      </c>
    </row>
    <row r="10" spans="1:30" x14ac:dyDescent="0.3">
      <c r="C10" s="2">
        <v>3</v>
      </c>
      <c r="D10" s="2">
        <v>3</v>
      </c>
      <c r="E10" s="2">
        <v>2</v>
      </c>
      <c r="F10" s="2" t="s">
        <v>4</v>
      </c>
    </row>
    <row r="11" spans="1:30" ht="15" customHeight="1" x14ac:dyDescent="0.3">
      <c r="C11" s="2">
        <v>4</v>
      </c>
      <c r="D11" s="2">
        <v>4</v>
      </c>
      <c r="E11" s="2">
        <v>2</v>
      </c>
      <c r="F11" s="2" t="s">
        <v>5</v>
      </c>
      <c r="H11" s="15" t="s">
        <v>12</v>
      </c>
      <c r="I11" s="15"/>
      <c r="O11" s="16" t="s">
        <v>29</v>
      </c>
      <c r="P11" s="16"/>
      <c r="Q11" s="16"/>
      <c r="R11" s="16"/>
      <c r="S11" s="16"/>
      <c r="AA11" s="15" t="s">
        <v>22</v>
      </c>
      <c r="AB11" s="15"/>
      <c r="AC11" s="15"/>
      <c r="AD11" s="15"/>
    </row>
    <row r="12" spans="1:30" x14ac:dyDescent="0.3">
      <c r="C12" s="2">
        <v>5</v>
      </c>
      <c r="D12" s="2">
        <v>5</v>
      </c>
      <c r="E12" s="2">
        <v>3</v>
      </c>
      <c r="F12" s="2" t="s">
        <v>5</v>
      </c>
      <c r="H12" s="17" t="s">
        <v>24</v>
      </c>
      <c r="I12" s="17"/>
      <c r="J12" s="17"/>
      <c r="K12" s="17"/>
      <c r="L12" s="17"/>
      <c r="M12" s="17"/>
      <c r="O12" s="16"/>
      <c r="P12" s="16"/>
      <c r="Q12" s="16"/>
      <c r="R12" s="16"/>
      <c r="S12" s="16"/>
    </row>
    <row r="13" spans="1:30" x14ac:dyDescent="0.3">
      <c r="C13" s="2">
        <v>6</v>
      </c>
      <c r="D13" s="2">
        <v>6</v>
      </c>
      <c r="E13" s="2">
        <v>3</v>
      </c>
      <c r="F13" s="2" t="s">
        <v>5</v>
      </c>
      <c r="H13" s="17"/>
      <c r="I13" s="17"/>
      <c r="J13" s="17"/>
      <c r="K13" s="17"/>
      <c r="L13" s="17"/>
      <c r="M13" s="17"/>
      <c r="O13" t="s">
        <v>14</v>
      </c>
      <c r="AA13" s="1" t="s">
        <v>0</v>
      </c>
      <c r="AB13" s="1" t="s">
        <v>1</v>
      </c>
      <c r="AC13" s="1" t="s">
        <v>2</v>
      </c>
      <c r="AD13" s="1" t="s">
        <v>3</v>
      </c>
    </row>
    <row r="14" spans="1:30" x14ac:dyDescent="0.3">
      <c r="C14" s="2">
        <v>7</v>
      </c>
      <c r="D14" s="2">
        <v>7</v>
      </c>
      <c r="E14" s="2">
        <v>4</v>
      </c>
      <c r="F14" s="2" t="s">
        <v>4</v>
      </c>
      <c r="H14" s="4"/>
      <c r="O14" t="s">
        <v>30</v>
      </c>
      <c r="AA14" s="2">
        <v>1</v>
      </c>
      <c r="AB14" s="2">
        <v>1</v>
      </c>
      <c r="AC14" s="2">
        <v>1</v>
      </c>
      <c r="AD14" s="2" t="s">
        <v>4</v>
      </c>
    </row>
    <row r="15" spans="1:30" x14ac:dyDescent="0.3">
      <c r="C15" s="2">
        <v>8</v>
      </c>
      <c r="D15" s="2">
        <v>8</v>
      </c>
      <c r="E15" s="2">
        <v>4</v>
      </c>
      <c r="F15" s="2" t="s">
        <v>4</v>
      </c>
      <c r="O15" t="s">
        <v>26</v>
      </c>
      <c r="S15" t="s">
        <v>33</v>
      </c>
      <c r="AA15" s="2">
        <v>2</v>
      </c>
      <c r="AB15" s="2">
        <v>2</v>
      </c>
      <c r="AC15" s="2">
        <v>1</v>
      </c>
      <c r="AD15" s="2" t="s">
        <v>4</v>
      </c>
    </row>
    <row r="16" spans="1:30" x14ac:dyDescent="0.3">
      <c r="C16" s="2">
        <v>9</v>
      </c>
      <c r="D16" s="2">
        <v>9</v>
      </c>
      <c r="E16" s="2">
        <v>5</v>
      </c>
      <c r="F16" s="2" t="s">
        <v>5</v>
      </c>
      <c r="O16" t="s">
        <v>27</v>
      </c>
      <c r="S16" t="s">
        <v>34</v>
      </c>
      <c r="AA16" s="2">
        <v>3</v>
      </c>
      <c r="AB16" s="2">
        <v>3</v>
      </c>
      <c r="AC16" s="2">
        <v>2</v>
      </c>
      <c r="AD16" s="2" t="s">
        <v>4</v>
      </c>
    </row>
    <row r="17" spans="3:30" x14ac:dyDescent="0.3">
      <c r="C17" s="2">
        <v>10</v>
      </c>
      <c r="D17" s="2">
        <v>10</v>
      </c>
      <c r="E17" s="2">
        <v>5</v>
      </c>
      <c r="F17" s="2" t="s">
        <v>4</v>
      </c>
      <c r="O17" t="s">
        <v>28</v>
      </c>
      <c r="AA17" s="2">
        <v>4</v>
      </c>
      <c r="AB17" s="2">
        <v>4</v>
      </c>
      <c r="AC17" s="2">
        <v>2</v>
      </c>
      <c r="AD17" s="2" t="s">
        <v>5</v>
      </c>
    </row>
    <row r="18" spans="3:30" ht="19.5" customHeight="1" x14ac:dyDescent="0.3">
      <c r="C18" s="2">
        <v>11</v>
      </c>
      <c r="D18" s="2">
        <v>1</v>
      </c>
      <c r="E18" s="2">
        <v>6</v>
      </c>
      <c r="F18" s="2" t="s">
        <v>5</v>
      </c>
      <c r="AA18" s="2">
        <v>5</v>
      </c>
      <c r="AB18" s="2">
        <v>5</v>
      </c>
      <c r="AC18" s="2">
        <v>3</v>
      </c>
      <c r="AD18" s="2" t="s">
        <v>5</v>
      </c>
    </row>
    <row r="19" spans="3:30" x14ac:dyDescent="0.3">
      <c r="C19" s="2">
        <v>12</v>
      </c>
      <c r="D19" s="2">
        <v>2</v>
      </c>
      <c r="E19" s="2">
        <v>6</v>
      </c>
      <c r="F19" s="2" t="s">
        <v>5</v>
      </c>
      <c r="H19" s="1" t="s">
        <v>0</v>
      </c>
      <c r="I19" s="1" t="s">
        <v>1</v>
      </c>
      <c r="J19" s="1" t="s">
        <v>2</v>
      </c>
      <c r="K19" s="1" t="s">
        <v>3</v>
      </c>
      <c r="L19" s="1" t="s">
        <v>25</v>
      </c>
      <c r="O19" s="1" t="s">
        <v>0</v>
      </c>
      <c r="P19" s="1" t="s">
        <v>1</v>
      </c>
      <c r="Q19" s="1" t="s">
        <v>2</v>
      </c>
      <c r="R19" s="1" t="s">
        <v>3</v>
      </c>
      <c r="S19" s="1" t="s">
        <v>25</v>
      </c>
      <c r="AA19" s="2">
        <v>6</v>
      </c>
      <c r="AB19" s="2">
        <v>6</v>
      </c>
      <c r="AC19" s="2">
        <v>3</v>
      </c>
      <c r="AD19" s="2" t="s">
        <v>5</v>
      </c>
    </row>
    <row r="20" spans="3:30" x14ac:dyDescent="0.3">
      <c r="C20" s="2">
        <v>13</v>
      </c>
      <c r="D20" s="2">
        <v>3</v>
      </c>
      <c r="E20" s="2">
        <v>7</v>
      </c>
      <c r="F20" s="2" t="s">
        <v>4</v>
      </c>
      <c r="H20" s="2">
        <v>1</v>
      </c>
      <c r="I20" s="2">
        <v>1</v>
      </c>
      <c r="J20" s="2">
        <v>1</v>
      </c>
      <c r="K20" s="2" t="s">
        <v>4</v>
      </c>
      <c r="L20" s="5">
        <f>SQRT((I20-6)^2+(J20-5)^2)</f>
        <v>6.4031242374328485</v>
      </c>
      <c r="O20" s="10">
        <v>7</v>
      </c>
      <c r="P20" s="10">
        <v>7</v>
      </c>
      <c r="Q20" s="10">
        <v>4</v>
      </c>
      <c r="R20" s="10" t="s">
        <v>4</v>
      </c>
      <c r="S20" s="9">
        <f t="shared" ref="S20:S39" si="0">SQRT((P20-6)^2+(Q20-5)^2)</f>
        <v>1.4142135623730951</v>
      </c>
      <c r="AA20" s="2">
        <v>7</v>
      </c>
      <c r="AB20" s="2">
        <v>7</v>
      </c>
      <c r="AC20" s="2">
        <v>4</v>
      </c>
      <c r="AD20" s="2" t="s">
        <v>4</v>
      </c>
    </row>
    <row r="21" spans="3:30" x14ac:dyDescent="0.3">
      <c r="C21" s="2">
        <v>14</v>
      </c>
      <c r="D21" s="2">
        <v>4</v>
      </c>
      <c r="E21" s="2">
        <v>7</v>
      </c>
      <c r="F21" s="2" t="s">
        <v>4</v>
      </c>
      <c r="H21" s="2">
        <v>2</v>
      </c>
      <c r="I21" s="2">
        <v>2</v>
      </c>
      <c r="J21" s="2">
        <v>1</v>
      </c>
      <c r="K21" s="2" t="s">
        <v>4</v>
      </c>
      <c r="L21" s="5">
        <f t="shared" ref="L21:L39" si="1">SQRT((I21-6)^2+(J21-5)^2)</f>
        <v>5.6568542494923806</v>
      </c>
      <c r="O21" s="10">
        <v>6</v>
      </c>
      <c r="P21" s="10">
        <v>6</v>
      </c>
      <c r="Q21" s="10">
        <v>3</v>
      </c>
      <c r="R21" s="10" t="s">
        <v>5</v>
      </c>
      <c r="S21" s="9">
        <f t="shared" si="0"/>
        <v>2</v>
      </c>
      <c r="AA21" s="2">
        <v>8</v>
      </c>
      <c r="AB21" s="2">
        <v>8</v>
      </c>
      <c r="AC21" s="2">
        <v>4</v>
      </c>
      <c r="AD21" s="2" t="s">
        <v>4</v>
      </c>
    </row>
    <row r="22" spans="3:30" x14ac:dyDescent="0.3">
      <c r="C22" s="2">
        <v>15</v>
      </c>
      <c r="D22" s="2">
        <v>5</v>
      </c>
      <c r="E22" s="2">
        <v>8</v>
      </c>
      <c r="F22" s="2" t="s">
        <v>5</v>
      </c>
      <c r="H22" s="2">
        <v>3</v>
      </c>
      <c r="I22" s="2">
        <v>3</v>
      </c>
      <c r="J22" s="2">
        <v>2</v>
      </c>
      <c r="K22" s="2" t="s">
        <v>4</v>
      </c>
      <c r="L22" s="5">
        <f t="shared" si="1"/>
        <v>4.2426406871192848</v>
      </c>
      <c r="O22" s="10">
        <v>5</v>
      </c>
      <c r="P22" s="10">
        <v>5</v>
      </c>
      <c r="Q22" s="10">
        <v>3</v>
      </c>
      <c r="R22" s="10" t="s">
        <v>5</v>
      </c>
      <c r="S22" s="9">
        <f t="shared" si="0"/>
        <v>2.2360679774997898</v>
      </c>
      <c r="AA22" s="2">
        <v>9</v>
      </c>
      <c r="AB22" s="2">
        <v>9</v>
      </c>
      <c r="AC22" s="2">
        <v>5</v>
      </c>
      <c r="AD22" s="2" t="s">
        <v>5</v>
      </c>
    </row>
    <row r="23" spans="3:30" x14ac:dyDescent="0.3">
      <c r="C23" s="2">
        <v>16</v>
      </c>
      <c r="D23" s="2">
        <v>6</v>
      </c>
      <c r="E23" s="2">
        <v>8</v>
      </c>
      <c r="F23" s="2" t="s">
        <v>5</v>
      </c>
      <c r="H23" s="2">
        <v>4</v>
      </c>
      <c r="I23" s="2">
        <v>4</v>
      </c>
      <c r="J23" s="2">
        <v>2</v>
      </c>
      <c r="K23" s="2" t="s">
        <v>5</v>
      </c>
      <c r="L23" s="5">
        <f t="shared" si="1"/>
        <v>3.6055512754639891</v>
      </c>
      <c r="O23" s="10">
        <v>8</v>
      </c>
      <c r="P23" s="10">
        <v>8</v>
      </c>
      <c r="Q23" s="10">
        <v>4</v>
      </c>
      <c r="R23" s="10" t="s">
        <v>4</v>
      </c>
      <c r="S23" s="9">
        <f t="shared" si="0"/>
        <v>2.2360679774997898</v>
      </c>
      <c r="AA23" s="2">
        <v>10</v>
      </c>
      <c r="AB23" s="2">
        <v>10</v>
      </c>
      <c r="AC23" s="2">
        <v>5</v>
      </c>
      <c r="AD23" s="2" t="s">
        <v>4</v>
      </c>
    </row>
    <row r="24" spans="3:30" x14ac:dyDescent="0.3">
      <c r="C24" s="2">
        <v>17</v>
      </c>
      <c r="D24" s="2">
        <v>7</v>
      </c>
      <c r="E24" s="2">
        <v>9</v>
      </c>
      <c r="F24" s="2" t="s">
        <v>4</v>
      </c>
      <c r="H24" s="2">
        <v>5</v>
      </c>
      <c r="I24" s="2">
        <v>5</v>
      </c>
      <c r="J24" s="2">
        <v>3</v>
      </c>
      <c r="K24" s="2" t="s">
        <v>5</v>
      </c>
      <c r="L24" s="5">
        <f t="shared" si="1"/>
        <v>2.2360679774997898</v>
      </c>
      <c r="O24" s="10">
        <v>14</v>
      </c>
      <c r="P24" s="10">
        <v>4</v>
      </c>
      <c r="Q24" s="10">
        <v>7</v>
      </c>
      <c r="R24" s="10" t="s">
        <v>4</v>
      </c>
      <c r="S24" s="9">
        <f t="shared" si="0"/>
        <v>2.8284271247461903</v>
      </c>
      <c r="AA24" s="2">
        <v>11</v>
      </c>
      <c r="AB24" s="2">
        <v>1</v>
      </c>
      <c r="AC24" s="2">
        <v>6</v>
      </c>
      <c r="AD24" s="2" t="s">
        <v>5</v>
      </c>
    </row>
    <row r="25" spans="3:30" x14ac:dyDescent="0.3">
      <c r="C25" s="2">
        <v>18</v>
      </c>
      <c r="D25" s="2">
        <v>8</v>
      </c>
      <c r="E25" s="2">
        <v>9</v>
      </c>
      <c r="F25" s="2" t="s">
        <v>4</v>
      </c>
      <c r="H25" s="2">
        <v>6</v>
      </c>
      <c r="I25" s="2">
        <v>6</v>
      </c>
      <c r="J25" s="2">
        <v>3</v>
      </c>
      <c r="K25" s="2" t="s">
        <v>5</v>
      </c>
      <c r="L25" s="5">
        <f t="shared" si="1"/>
        <v>2</v>
      </c>
      <c r="O25" s="2">
        <v>16</v>
      </c>
      <c r="P25" s="2">
        <v>6</v>
      </c>
      <c r="Q25" s="2">
        <v>8</v>
      </c>
      <c r="R25" s="2" t="s">
        <v>5</v>
      </c>
      <c r="S25" s="12">
        <f t="shared" si="0"/>
        <v>3</v>
      </c>
      <c r="AA25" s="2">
        <v>12</v>
      </c>
      <c r="AB25" s="2">
        <v>2</v>
      </c>
      <c r="AC25" s="2">
        <v>6</v>
      </c>
      <c r="AD25" s="2" t="s">
        <v>5</v>
      </c>
    </row>
    <row r="26" spans="3:30" x14ac:dyDescent="0.3">
      <c r="C26" s="2">
        <v>19</v>
      </c>
      <c r="D26" s="2">
        <v>9</v>
      </c>
      <c r="E26" s="2">
        <v>10</v>
      </c>
      <c r="F26" s="2" t="s">
        <v>5</v>
      </c>
      <c r="H26" s="2">
        <v>7</v>
      </c>
      <c r="I26" s="2">
        <v>7</v>
      </c>
      <c r="J26" s="2">
        <v>4</v>
      </c>
      <c r="K26" s="2" t="s">
        <v>4</v>
      </c>
      <c r="L26" s="5">
        <f t="shared" si="1"/>
        <v>1.4142135623730951</v>
      </c>
      <c r="O26" s="2">
        <v>9</v>
      </c>
      <c r="P26" s="2">
        <v>9</v>
      </c>
      <c r="Q26" s="2">
        <v>5</v>
      </c>
      <c r="R26" s="2" t="s">
        <v>5</v>
      </c>
      <c r="S26" s="12">
        <f t="shared" si="0"/>
        <v>3</v>
      </c>
      <c r="AA26" s="2">
        <v>13</v>
      </c>
      <c r="AB26" s="2">
        <v>3</v>
      </c>
      <c r="AC26" s="2">
        <v>7</v>
      </c>
      <c r="AD26" s="2" t="s">
        <v>4</v>
      </c>
    </row>
    <row r="27" spans="3:30" x14ac:dyDescent="0.3">
      <c r="C27" s="2">
        <v>20</v>
      </c>
      <c r="D27" s="2">
        <v>10</v>
      </c>
      <c r="E27" s="2">
        <v>10</v>
      </c>
      <c r="F27" s="2" t="s">
        <v>4</v>
      </c>
      <c r="H27" s="2">
        <v>8</v>
      </c>
      <c r="I27" s="2">
        <v>8</v>
      </c>
      <c r="J27" s="2">
        <v>4</v>
      </c>
      <c r="K27" s="2" t="s">
        <v>4</v>
      </c>
      <c r="L27" s="5">
        <f t="shared" si="1"/>
        <v>2.2360679774997898</v>
      </c>
      <c r="O27" s="2">
        <v>15</v>
      </c>
      <c r="P27" s="2">
        <v>5</v>
      </c>
      <c r="Q27" s="2">
        <v>8</v>
      </c>
      <c r="R27" s="2" t="s">
        <v>5</v>
      </c>
      <c r="S27" s="12">
        <f t="shared" si="0"/>
        <v>3.1622776601683795</v>
      </c>
      <c r="U27" t="s">
        <v>31</v>
      </c>
      <c r="AA27" s="2">
        <v>14</v>
      </c>
      <c r="AB27" s="2">
        <v>4</v>
      </c>
      <c r="AC27" s="2">
        <v>7</v>
      </c>
      <c r="AD27" s="2" t="s">
        <v>4</v>
      </c>
    </row>
    <row r="28" spans="3:30" ht="15" customHeight="1" x14ac:dyDescent="0.3">
      <c r="H28" s="2">
        <v>9</v>
      </c>
      <c r="I28" s="2">
        <v>9</v>
      </c>
      <c r="J28" s="2">
        <v>5</v>
      </c>
      <c r="K28" s="2" t="s">
        <v>5</v>
      </c>
      <c r="L28" s="5">
        <f t="shared" si="1"/>
        <v>3</v>
      </c>
      <c r="O28" s="2">
        <v>13</v>
      </c>
      <c r="P28" s="2">
        <v>3</v>
      </c>
      <c r="Q28" s="2">
        <v>7</v>
      </c>
      <c r="R28" s="2" t="s">
        <v>4</v>
      </c>
      <c r="S28" s="12">
        <f t="shared" si="0"/>
        <v>3.6055512754639891</v>
      </c>
      <c r="U28" s="17" t="s">
        <v>32</v>
      </c>
      <c r="V28" s="17"/>
      <c r="W28" s="17"/>
      <c r="X28" s="17"/>
      <c r="Y28" s="17"/>
      <c r="Z28" s="17"/>
      <c r="AA28" s="2">
        <v>15</v>
      </c>
      <c r="AB28" s="2">
        <v>5</v>
      </c>
      <c r="AC28" s="2">
        <v>8</v>
      </c>
      <c r="AD28" s="2" t="s">
        <v>5</v>
      </c>
    </row>
    <row r="29" spans="3:30" x14ac:dyDescent="0.3">
      <c r="H29" s="2">
        <v>10</v>
      </c>
      <c r="I29" s="2">
        <v>10</v>
      </c>
      <c r="J29" s="2">
        <v>5</v>
      </c>
      <c r="K29" s="2" t="s">
        <v>4</v>
      </c>
      <c r="L29" s="5">
        <f t="shared" si="1"/>
        <v>4</v>
      </c>
      <c r="O29" s="2">
        <v>4</v>
      </c>
      <c r="P29" s="2">
        <v>4</v>
      </c>
      <c r="Q29" s="2">
        <v>2</v>
      </c>
      <c r="R29" s="2" t="s">
        <v>5</v>
      </c>
      <c r="S29" s="12">
        <f t="shared" si="0"/>
        <v>3.6055512754639891</v>
      </c>
      <c r="U29" s="17"/>
      <c r="V29" s="17"/>
      <c r="W29" s="17"/>
      <c r="X29" s="17"/>
      <c r="Y29" s="17"/>
      <c r="Z29" s="17"/>
      <c r="AA29" s="2">
        <v>16</v>
      </c>
      <c r="AB29" s="2">
        <v>6</v>
      </c>
      <c r="AC29" s="2">
        <v>8</v>
      </c>
      <c r="AD29" s="2" t="s">
        <v>5</v>
      </c>
    </row>
    <row r="30" spans="3:30" x14ac:dyDescent="0.3">
      <c r="H30" s="2">
        <v>11</v>
      </c>
      <c r="I30" s="2">
        <v>1</v>
      </c>
      <c r="J30" s="2">
        <v>6</v>
      </c>
      <c r="K30" s="2" t="s">
        <v>5</v>
      </c>
      <c r="L30" s="5">
        <f t="shared" si="1"/>
        <v>5.0990195135927845</v>
      </c>
      <c r="O30" s="2">
        <v>10</v>
      </c>
      <c r="P30" s="2">
        <v>10</v>
      </c>
      <c r="Q30" s="2">
        <v>5</v>
      </c>
      <c r="R30" s="2" t="s">
        <v>4</v>
      </c>
      <c r="S30" s="12">
        <f t="shared" si="0"/>
        <v>4</v>
      </c>
      <c r="AA30" s="2">
        <v>17</v>
      </c>
      <c r="AB30" s="2">
        <v>7</v>
      </c>
      <c r="AC30" s="2">
        <v>9</v>
      </c>
      <c r="AD30" s="2" t="s">
        <v>4</v>
      </c>
    </row>
    <row r="31" spans="3:30" x14ac:dyDescent="0.3">
      <c r="H31" s="2">
        <v>12</v>
      </c>
      <c r="I31" s="2">
        <v>2</v>
      </c>
      <c r="J31" s="2">
        <v>6</v>
      </c>
      <c r="K31" s="2" t="s">
        <v>5</v>
      </c>
      <c r="L31" s="5">
        <f t="shared" si="1"/>
        <v>4.1231056256176606</v>
      </c>
      <c r="O31" s="2">
        <v>12</v>
      </c>
      <c r="P31" s="2">
        <v>2</v>
      </c>
      <c r="Q31" s="2">
        <v>6</v>
      </c>
      <c r="R31" s="2" t="s">
        <v>5</v>
      </c>
      <c r="S31" s="12">
        <f t="shared" si="0"/>
        <v>4.1231056256176606</v>
      </c>
      <c r="AA31" s="2">
        <v>18</v>
      </c>
      <c r="AB31" s="2">
        <v>8</v>
      </c>
      <c r="AC31" s="2">
        <v>9</v>
      </c>
      <c r="AD31" s="2" t="s">
        <v>4</v>
      </c>
    </row>
    <row r="32" spans="3:30" x14ac:dyDescent="0.3">
      <c r="H32" s="2">
        <v>13</v>
      </c>
      <c r="I32" s="2">
        <v>3</v>
      </c>
      <c r="J32" s="2">
        <v>7</v>
      </c>
      <c r="K32" s="2" t="s">
        <v>4</v>
      </c>
      <c r="L32" s="5">
        <f t="shared" si="1"/>
        <v>3.6055512754639891</v>
      </c>
      <c r="O32" s="2">
        <v>17</v>
      </c>
      <c r="P32" s="2">
        <v>7</v>
      </c>
      <c r="Q32" s="2">
        <v>9</v>
      </c>
      <c r="R32" s="2" t="s">
        <v>4</v>
      </c>
      <c r="S32" s="12">
        <f t="shared" si="0"/>
        <v>4.1231056256176606</v>
      </c>
      <c r="AA32" s="2">
        <v>19</v>
      </c>
      <c r="AB32" s="2">
        <v>9</v>
      </c>
      <c r="AC32" s="2">
        <v>10</v>
      </c>
      <c r="AD32" s="2" t="s">
        <v>5</v>
      </c>
    </row>
    <row r="33" spans="8:31" x14ac:dyDescent="0.3">
      <c r="H33" s="2">
        <v>14</v>
      </c>
      <c r="I33" s="2">
        <v>4</v>
      </c>
      <c r="J33" s="2">
        <v>7</v>
      </c>
      <c r="K33" s="2" t="s">
        <v>4</v>
      </c>
      <c r="L33" s="5">
        <f t="shared" si="1"/>
        <v>2.8284271247461903</v>
      </c>
      <c r="O33" s="2">
        <v>3</v>
      </c>
      <c r="P33" s="2">
        <v>3</v>
      </c>
      <c r="Q33" s="2">
        <v>2</v>
      </c>
      <c r="R33" s="2" t="s">
        <v>4</v>
      </c>
      <c r="S33" s="12">
        <f t="shared" si="0"/>
        <v>4.2426406871192848</v>
      </c>
      <c r="AA33" s="2">
        <v>20</v>
      </c>
      <c r="AB33" s="2">
        <v>10</v>
      </c>
      <c r="AC33" s="2">
        <v>10</v>
      </c>
      <c r="AD33" s="2" t="s">
        <v>4</v>
      </c>
    </row>
    <row r="34" spans="8:31" x14ac:dyDescent="0.3">
      <c r="H34" s="2">
        <v>15</v>
      </c>
      <c r="I34" s="2">
        <v>5</v>
      </c>
      <c r="J34" s="2">
        <v>8</v>
      </c>
      <c r="K34" s="2" t="s">
        <v>5</v>
      </c>
      <c r="L34" s="5">
        <f t="shared" si="1"/>
        <v>3.1622776601683795</v>
      </c>
      <c r="O34" s="2">
        <v>18</v>
      </c>
      <c r="P34" s="2">
        <v>8</v>
      </c>
      <c r="Q34" s="2">
        <v>9</v>
      </c>
      <c r="R34" s="2" t="s">
        <v>4</v>
      </c>
      <c r="S34" s="12">
        <f t="shared" si="0"/>
        <v>4.4721359549995796</v>
      </c>
    </row>
    <row r="35" spans="8:31" x14ac:dyDescent="0.3">
      <c r="H35" s="2">
        <v>16</v>
      </c>
      <c r="I35" s="2">
        <v>6</v>
      </c>
      <c r="J35" s="2">
        <v>8</v>
      </c>
      <c r="K35" s="2" t="s">
        <v>5</v>
      </c>
      <c r="L35" s="5">
        <f t="shared" si="1"/>
        <v>3</v>
      </c>
      <c r="O35" s="2">
        <v>11</v>
      </c>
      <c r="P35" s="2">
        <v>1</v>
      </c>
      <c r="Q35" s="2">
        <v>6</v>
      </c>
      <c r="R35" s="2" t="s">
        <v>5</v>
      </c>
      <c r="S35" s="12">
        <f t="shared" si="0"/>
        <v>5.0990195135927845</v>
      </c>
    </row>
    <row r="36" spans="8:31" x14ac:dyDescent="0.3">
      <c r="H36" s="2">
        <v>17</v>
      </c>
      <c r="I36" s="2">
        <v>7</v>
      </c>
      <c r="J36" s="2">
        <v>9</v>
      </c>
      <c r="K36" s="2" t="s">
        <v>4</v>
      </c>
      <c r="L36" s="5">
        <f t="shared" si="1"/>
        <v>4.1231056256176606</v>
      </c>
      <c r="O36" s="2">
        <v>2</v>
      </c>
      <c r="P36" s="2">
        <v>2</v>
      </c>
      <c r="Q36" s="2">
        <v>1</v>
      </c>
      <c r="R36" s="2" t="s">
        <v>4</v>
      </c>
      <c r="S36" s="12">
        <f t="shared" si="0"/>
        <v>5.6568542494923806</v>
      </c>
      <c r="AA36" s="13" t="s">
        <v>23</v>
      </c>
      <c r="AB36" s="13"/>
      <c r="AC36" s="13"/>
      <c r="AD36" s="13"/>
    </row>
    <row r="37" spans="8:31" x14ac:dyDescent="0.3">
      <c r="H37" s="2">
        <v>18</v>
      </c>
      <c r="I37" s="2">
        <v>8</v>
      </c>
      <c r="J37" s="2">
        <v>9</v>
      </c>
      <c r="K37" s="2" t="s">
        <v>4</v>
      </c>
      <c r="L37" s="5">
        <f t="shared" si="1"/>
        <v>4.4721359549995796</v>
      </c>
      <c r="O37" s="2">
        <v>19</v>
      </c>
      <c r="P37" s="2">
        <v>9</v>
      </c>
      <c r="Q37" s="2">
        <v>10</v>
      </c>
      <c r="R37" s="2" t="s">
        <v>5</v>
      </c>
      <c r="S37" s="12">
        <f t="shared" si="0"/>
        <v>5.8309518948453007</v>
      </c>
      <c r="AA37" s="13"/>
      <c r="AB37" s="13"/>
      <c r="AC37" s="13"/>
      <c r="AD37" s="13"/>
    </row>
    <row r="38" spans="8:31" x14ac:dyDescent="0.3">
      <c r="H38" s="2">
        <v>19</v>
      </c>
      <c r="I38" s="2">
        <v>9</v>
      </c>
      <c r="J38" s="2">
        <v>10</v>
      </c>
      <c r="K38" s="2" t="s">
        <v>5</v>
      </c>
      <c r="L38" s="5">
        <f t="shared" si="1"/>
        <v>5.8309518948453007</v>
      </c>
      <c r="O38" s="2">
        <v>1</v>
      </c>
      <c r="P38" s="2">
        <v>1</v>
      </c>
      <c r="Q38" s="2">
        <v>1</v>
      </c>
      <c r="R38" s="2" t="s">
        <v>4</v>
      </c>
      <c r="S38" s="12">
        <f t="shared" si="0"/>
        <v>6.4031242374328485</v>
      </c>
    </row>
    <row r="39" spans="8:31" ht="28.8" x14ac:dyDescent="0.3">
      <c r="H39" s="2">
        <v>20</v>
      </c>
      <c r="I39" s="2">
        <v>10</v>
      </c>
      <c r="J39" s="2">
        <v>10</v>
      </c>
      <c r="K39" s="2" t="s">
        <v>4</v>
      </c>
      <c r="L39" s="5">
        <f t="shared" si="1"/>
        <v>6.4031242374328485</v>
      </c>
      <c r="O39" s="2">
        <v>20</v>
      </c>
      <c r="P39" s="2">
        <v>10</v>
      </c>
      <c r="Q39" s="2">
        <v>10</v>
      </c>
      <c r="R39" s="2" t="s">
        <v>4</v>
      </c>
      <c r="S39" s="12">
        <f t="shared" si="0"/>
        <v>6.4031242374328485</v>
      </c>
      <c r="AA39" s="1" t="s">
        <v>0</v>
      </c>
      <c r="AB39" s="1" t="s">
        <v>1</v>
      </c>
      <c r="AC39" s="1" t="s">
        <v>2</v>
      </c>
      <c r="AD39" s="1" t="s">
        <v>3</v>
      </c>
      <c r="AE39" s="1" t="s">
        <v>25</v>
      </c>
    </row>
    <row r="40" spans="8:31" x14ac:dyDescent="0.3">
      <c r="AA40" s="10">
        <v>7</v>
      </c>
      <c r="AB40" s="10">
        <v>7</v>
      </c>
      <c r="AC40" s="10">
        <v>4</v>
      </c>
      <c r="AD40" s="10" t="s">
        <v>4</v>
      </c>
      <c r="AE40" s="9">
        <f>SQRT((AB40-6)^2+(AC40-5)^2)</f>
        <v>1.4142135623730951</v>
      </c>
    </row>
    <row r="41" spans="8:31" x14ac:dyDescent="0.3">
      <c r="AA41" s="10">
        <v>6</v>
      </c>
      <c r="AB41" s="10">
        <v>6</v>
      </c>
      <c r="AC41" s="10">
        <v>3</v>
      </c>
      <c r="AD41" s="10" t="s">
        <v>5</v>
      </c>
      <c r="AE41" s="9">
        <f t="shared" ref="AE41:AE59" si="2">SQRT((AB41-6)^2+(AC41-5)^2)</f>
        <v>2</v>
      </c>
    </row>
    <row r="42" spans="8:31" x14ac:dyDescent="0.3">
      <c r="AA42" s="10">
        <v>5</v>
      </c>
      <c r="AB42" s="10">
        <v>5</v>
      </c>
      <c r="AC42" s="10">
        <v>3</v>
      </c>
      <c r="AD42" s="10" t="s">
        <v>5</v>
      </c>
      <c r="AE42" s="9">
        <f t="shared" si="2"/>
        <v>2.2360679774997898</v>
      </c>
    </row>
    <row r="43" spans="8:31" x14ac:dyDescent="0.3">
      <c r="AA43" s="10">
        <v>8</v>
      </c>
      <c r="AB43" s="10">
        <v>8</v>
      </c>
      <c r="AC43" s="10">
        <v>4</v>
      </c>
      <c r="AD43" s="10" t="s">
        <v>4</v>
      </c>
      <c r="AE43" s="9">
        <f t="shared" si="2"/>
        <v>2.2360679774997898</v>
      </c>
    </row>
    <row r="44" spans="8:31" x14ac:dyDescent="0.3">
      <c r="AA44" s="10">
        <v>14</v>
      </c>
      <c r="AB44" s="10">
        <v>4</v>
      </c>
      <c r="AC44" s="10">
        <v>7</v>
      </c>
      <c r="AD44" s="10" t="s">
        <v>4</v>
      </c>
      <c r="AE44" s="9">
        <f t="shared" si="2"/>
        <v>2.8284271247461903</v>
      </c>
    </row>
    <row r="45" spans="8:31" x14ac:dyDescent="0.3">
      <c r="AA45" s="2">
        <v>16</v>
      </c>
      <c r="AB45" s="2">
        <v>6</v>
      </c>
      <c r="AC45" s="2">
        <v>8</v>
      </c>
      <c r="AD45" s="2" t="s">
        <v>5</v>
      </c>
      <c r="AE45" s="9">
        <f t="shared" si="2"/>
        <v>3</v>
      </c>
    </row>
    <row r="46" spans="8:31" x14ac:dyDescent="0.3">
      <c r="AA46" s="2">
        <v>9</v>
      </c>
      <c r="AB46" s="2">
        <v>9</v>
      </c>
      <c r="AC46" s="2">
        <v>5</v>
      </c>
      <c r="AD46" s="2" t="s">
        <v>5</v>
      </c>
      <c r="AE46" s="9">
        <f t="shared" si="2"/>
        <v>3</v>
      </c>
    </row>
    <row r="47" spans="8:31" x14ac:dyDescent="0.3">
      <c r="AA47" s="2">
        <v>15</v>
      </c>
      <c r="AB47" s="2">
        <v>5</v>
      </c>
      <c r="AC47" s="2">
        <v>8</v>
      </c>
      <c r="AD47" s="2" t="s">
        <v>5</v>
      </c>
      <c r="AE47" s="9">
        <f t="shared" si="2"/>
        <v>3.1622776601683795</v>
      </c>
    </row>
    <row r="48" spans="8:31" x14ac:dyDescent="0.3">
      <c r="AA48" s="2">
        <v>13</v>
      </c>
      <c r="AB48" s="2">
        <v>3</v>
      </c>
      <c r="AC48" s="2">
        <v>7</v>
      </c>
      <c r="AD48" s="2" t="s">
        <v>4</v>
      </c>
      <c r="AE48" s="9">
        <f t="shared" si="2"/>
        <v>3.6055512754639891</v>
      </c>
    </row>
    <row r="49" spans="27:31" x14ac:dyDescent="0.3">
      <c r="AA49" s="2">
        <v>4</v>
      </c>
      <c r="AB49" s="2">
        <v>4</v>
      </c>
      <c r="AC49" s="2">
        <v>2</v>
      </c>
      <c r="AD49" s="2" t="s">
        <v>5</v>
      </c>
      <c r="AE49" s="9">
        <f t="shared" si="2"/>
        <v>3.6055512754639891</v>
      </c>
    </row>
    <row r="50" spans="27:31" x14ac:dyDescent="0.3">
      <c r="AA50" s="2">
        <v>10</v>
      </c>
      <c r="AB50" s="2">
        <v>10</v>
      </c>
      <c r="AC50" s="2">
        <v>5</v>
      </c>
      <c r="AD50" s="2" t="s">
        <v>4</v>
      </c>
      <c r="AE50" s="9">
        <f t="shared" si="2"/>
        <v>4</v>
      </c>
    </row>
    <row r="51" spans="27:31" x14ac:dyDescent="0.3">
      <c r="AA51" s="2">
        <v>12</v>
      </c>
      <c r="AB51" s="2">
        <v>2</v>
      </c>
      <c r="AC51" s="2">
        <v>6</v>
      </c>
      <c r="AD51" s="2" t="s">
        <v>5</v>
      </c>
      <c r="AE51" s="9">
        <f t="shared" si="2"/>
        <v>4.1231056256176606</v>
      </c>
    </row>
    <row r="52" spans="27:31" x14ac:dyDescent="0.3">
      <c r="AA52" s="2">
        <v>17</v>
      </c>
      <c r="AB52" s="2">
        <v>7</v>
      </c>
      <c r="AC52" s="2">
        <v>9</v>
      </c>
      <c r="AD52" s="2" t="s">
        <v>4</v>
      </c>
      <c r="AE52" s="9">
        <f t="shared" si="2"/>
        <v>4.1231056256176606</v>
      </c>
    </row>
    <row r="53" spans="27:31" x14ac:dyDescent="0.3">
      <c r="AA53" s="2">
        <v>3</v>
      </c>
      <c r="AB53" s="2">
        <v>3</v>
      </c>
      <c r="AC53" s="2">
        <v>2</v>
      </c>
      <c r="AD53" s="2" t="s">
        <v>4</v>
      </c>
      <c r="AE53" s="9">
        <f t="shared" si="2"/>
        <v>4.2426406871192848</v>
      </c>
    </row>
    <row r="54" spans="27:31" x14ac:dyDescent="0.3">
      <c r="AA54" s="2">
        <v>18</v>
      </c>
      <c r="AB54" s="2">
        <v>8</v>
      </c>
      <c r="AC54" s="2">
        <v>9</v>
      </c>
      <c r="AD54" s="2" t="s">
        <v>4</v>
      </c>
      <c r="AE54" s="9">
        <f t="shared" si="2"/>
        <v>4.4721359549995796</v>
      </c>
    </row>
    <row r="55" spans="27:31" x14ac:dyDescent="0.3">
      <c r="AA55" s="2">
        <v>11</v>
      </c>
      <c r="AB55" s="2">
        <v>1</v>
      </c>
      <c r="AC55" s="2">
        <v>6</v>
      </c>
      <c r="AD55" s="2" t="s">
        <v>5</v>
      </c>
      <c r="AE55" s="9">
        <f t="shared" si="2"/>
        <v>5.0990195135927845</v>
      </c>
    </row>
    <row r="56" spans="27:31" x14ac:dyDescent="0.3">
      <c r="AA56" s="2">
        <v>2</v>
      </c>
      <c r="AB56" s="2">
        <v>2</v>
      </c>
      <c r="AC56" s="2">
        <v>1</v>
      </c>
      <c r="AD56" s="2" t="s">
        <v>4</v>
      </c>
      <c r="AE56" s="9">
        <f t="shared" si="2"/>
        <v>5.6568542494923806</v>
      </c>
    </row>
    <row r="57" spans="27:31" x14ac:dyDescent="0.3">
      <c r="AA57" s="2">
        <v>19</v>
      </c>
      <c r="AB57" s="2">
        <v>9</v>
      </c>
      <c r="AC57" s="2">
        <v>10</v>
      </c>
      <c r="AD57" s="2" t="s">
        <v>5</v>
      </c>
      <c r="AE57" s="9">
        <f t="shared" si="2"/>
        <v>5.8309518948453007</v>
      </c>
    </row>
    <row r="58" spans="27:31" x14ac:dyDescent="0.3">
      <c r="AA58" s="2">
        <v>1</v>
      </c>
      <c r="AB58" s="2">
        <v>1</v>
      </c>
      <c r="AC58" s="2">
        <v>1</v>
      </c>
      <c r="AD58" s="2" t="s">
        <v>4</v>
      </c>
      <c r="AE58" s="9">
        <f t="shared" si="2"/>
        <v>6.4031242374328485</v>
      </c>
    </row>
    <row r="59" spans="27:31" x14ac:dyDescent="0.3">
      <c r="AA59" s="2">
        <v>20</v>
      </c>
      <c r="AB59" s="2">
        <v>10</v>
      </c>
      <c r="AC59" s="2">
        <v>10</v>
      </c>
      <c r="AD59" s="2" t="s">
        <v>4</v>
      </c>
      <c r="AE59" s="9">
        <f t="shared" si="2"/>
        <v>6.4031242374328485</v>
      </c>
    </row>
  </sheetData>
  <sortState xmlns:xlrd2="http://schemas.microsoft.com/office/spreadsheetml/2017/richdata2" ref="AA40:AE59">
    <sortCondition ref="AE40:AE59"/>
  </sortState>
  <mergeCells count="7">
    <mergeCell ref="AA36:AD37"/>
    <mergeCell ref="J4:N4"/>
    <mergeCell ref="H11:I11"/>
    <mergeCell ref="O11:S12"/>
    <mergeCell ref="AA11:AD11"/>
    <mergeCell ref="H12:M13"/>
    <mergeCell ref="U28:Z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57"/>
  <sheetViews>
    <sheetView topLeftCell="T9" zoomScale="59" zoomScaleNormal="96" workbookViewId="0">
      <selection activeCell="B18" sqref="B18"/>
    </sheetView>
  </sheetViews>
  <sheetFormatPr defaultRowHeight="14.4" x14ac:dyDescent="0.3"/>
  <cols>
    <col min="12" max="12" width="14.109375" customWidth="1"/>
    <col min="19" max="19" width="14.109375" customWidth="1"/>
  </cols>
  <sheetData>
    <row r="2" spans="3:30" ht="46.2" x14ac:dyDescent="0.85">
      <c r="J2" s="14" t="s">
        <v>6</v>
      </c>
      <c r="K2" s="14"/>
      <c r="L2" s="14"/>
      <c r="M2" s="14"/>
      <c r="N2" s="14"/>
    </row>
    <row r="4" spans="3:30" x14ac:dyDescent="0.3">
      <c r="C4" s="3" t="s">
        <v>13</v>
      </c>
    </row>
    <row r="5" spans="3:30" x14ac:dyDescent="0.3">
      <c r="C5" s="1" t="s">
        <v>0</v>
      </c>
      <c r="D5" s="1" t="s">
        <v>1</v>
      </c>
      <c r="E5" s="1" t="s">
        <v>2</v>
      </c>
      <c r="F5" s="1" t="s">
        <v>3</v>
      </c>
      <c r="H5" s="6" t="s">
        <v>7</v>
      </c>
    </row>
    <row r="6" spans="3:30" x14ac:dyDescent="0.3">
      <c r="C6" s="2">
        <v>1</v>
      </c>
      <c r="D6" s="2">
        <v>1</v>
      </c>
      <c r="E6" s="2">
        <v>1</v>
      </c>
      <c r="F6" s="2" t="s">
        <v>4</v>
      </c>
      <c r="H6" s="7" t="s">
        <v>8</v>
      </c>
      <c r="I6">
        <v>6</v>
      </c>
    </row>
    <row r="7" spans="3:30" x14ac:dyDescent="0.3">
      <c r="C7" s="2">
        <v>2</v>
      </c>
      <c r="D7" s="2">
        <v>2</v>
      </c>
      <c r="E7" s="2">
        <v>1</v>
      </c>
      <c r="F7" s="2" t="s">
        <v>4</v>
      </c>
      <c r="H7" s="7" t="s">
        <v>9</v>
      </c>
      <c r="I7">
        <v>5</v>
      </c>
    </row>
    <row r="8" spans="3:30" x14ac:dyDescent="0.3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3">
      <c r="C9" s="2">
        <v>4</v>
      </c>
      <c r="D9" s="2">
        <v>4</v>
      </c>
      <c r="E9" s="2">
        <v>2</v>
      </c>
      <c r="F9" s="2" t="s">
        <v>5</v>
      </c>
      <c r="H9" s="15" t="s">
        <v>12</v>
      </c>
      <c r="I9" s="15"/>
      <c r="O9" s="16" t="s">
        <v>21</v>
      </c>
      <c r="P9" s="16"/>
      <c r="Q9" s="16"/>
      <c r="R9" s="16"/>
      <c r="S9" s="16"/>
      <c r="AA9" s="15" t="s">
        <v>22</v>
      </c>
      <c r="AB9" s="15"/>
      <c r="AC9" s="15"/>
      <c r="AD9" s="15"/>
    </row>
    <row r="10" spans="3:30" x14ac:dyDescent="0.3">
      <c r="C10" s="2">
        <v>5</v>
      </c>
      <c r="D10" s="2">
        <v>5</v>
      </c>
      <c r="E10" s="2">
        <v>3</v>
      </c>
      <c r="F10" s="2" t="s">
        <v>5</v>
      </c>
      <c r="H10" s="17" t="s">
        <v>10</v>
      </c>
      <c r="I10" s="17"/>
      <c r="J10" s="17"/>
      <c r="K10" s="17"/>
      <c r="L10" s="17"/>
      <c r="M10" s="17"/>
      <c r="O10" s="16"/>
      <c r="P10" s="16"/>
      <c r="Q10" s="16"/>
      <c r="R10" s="16"/>
      <c r="S10" s="16"/>
    </row>
    <row r="11" spans="3:30" x14ac:dyDescent="0.3">
      <c r="C11" s="2">
        <v>6</v>
      </c>
      <c r="D11" s="2">
        <v>6</v>
      </c>
      <c r="E11" s="2">
        <v>3</v>
      </c>
      <c r="F11" s="2" t="s">
        <v>5</v>
      </c>
      <c r="H11" s="17"/>
      <c r="I11" s="17"/>
      <c r="J11" s="17"/>
      <c r="K11" s="17"/>
      <c r="L11" s="17"/>
      <c r="M11" s="17"/>
      <c r="O11" t="s">
        <v>14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3">
      <c r="C12" s="2">
        <v>7</v>
      </c>
      <c r="D12" s="2">
        <v>7</v>
      </c>
      <c r="E12" s="2">
        <v>4</v>
      </c>
      <c r="F12" s="2" t="s">
        <v>4</v>
      </c>
      <c r="H12" s="4"/>
      <c r="O12" t="s">
        <v>15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3">
      <c r="C13" s="2">
        <v>8</v>
      </c>
      <c r="D13" s="2">
        <v>8</v>
      </c>
      <c r="E13" s="2">
        <v>4</v>
      </c>
      <c r="F13" s="2" t="s">
        <v>4</v>
      </c>
      <c r="O13" t="s">
        <v>16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3">
      <c r="C14" s="2">
        <v>9</v>
      </c>
      <c r="D14" s="2">
        <v>9</v>
      </c>
      <c r="E14" s="2">
        <v>5</v>
      </c>
      <c r="F14" s="2" t="s">
        <v>5</v>
      </c>
      <c r="O14" t="s">
        <v>18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3">
      <c r="C15" s="2">
        <v>10</v>
      </c>
      <c r="D15" s="2">
        <v>10</v>
      </c>
      <c r="E15" s="2">
        <v>5</v>
      </c>
      <c r="F15" s="2" t="s">
        <v>4</v>
      </c>
      <c r="O15" t="s">
        <v>17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3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3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11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11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3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5">
        <f t="shared" ref="L18:L37" si="0">SQRT((I18-4)^2+(J18-5)^2)</f>
        <v>5</v>
      </c>
      <c r="O18" s="8">
        <v>14</v>
      </c>
      <c r="P18" s="8">
        <v>4</v>
      </c>
      <c r="Q18" s="8">
        <v>7</v>
      </c>
      <c r="R18" s="8" t="s">
        <v>4</v>
      </c>
      <c r="S18" s="9">
        <f t="shared" ref="S18:S37" si="1">SQRT((P18-4)^2+(Q18-5)^2)</f>
        <v>2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3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5">
        <f t="shared" si="0"/>
        <v>4.4721359549995796</v>
      </c>
      <c r="O19" s="8">
        <v>5</v>
      </c>
      <c r="P19" s="8">
        <v>5</v>
      </c>
      <c r="Q19" s="8">
        <v>3</v>
      </c>
      <c r="R19" s="8" t="s">
        <v>5</v>
      </c>
      <c r="S19" s="9">
        <f t="shared" si="1"/>
        <v>2.2360679774997898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3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5">
        <f t="shared" si="0"/>
        <v>3.1622776601683795</v>
      </c>
      <c r="O20" s="8">
        <v>12</v>
      </c>
      <c r="P20" s="8">
        <v>2</v>
      </c>
      <c r="Q20" s="8">
        <v>6</v>
      </c>
      <c r="R20" s="8" t="s">
        <v>5</v>
      </c>
      <c r="S20" s="9">
        <f t="shared" si="1"/>
        <v>2.2360679774997898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3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5">
        <f t="shared" si="0"/>
        <v>3</v>
      </c>
      <c r="O21" s="2">
        <v>13</v>
      </c>
      <c r="P21" s="2">
        <v>3</v>
      </c>
      <c r="Q21" s="2">
        <v>7</v>
      </c>
      <c r="R21" s="2" t="s">
        <v>4</v>
      </c>
      <c r="S21" s="5">
        <f t="shared" si="1"/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3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5">
        <f t="shared" si="0"/>
        <v>2.2360679774997898</v>
      </c>
      <c r="O22" s="2">
        <v>6</v>
      </c>
      <c r="P22" s="2">
        <v>6</v>
      </c>
      <c r="Q22" s="2">
        <v>3</v>
      </c>
      <c r="R22" s="2" t="s">
        <v>5</v>
      </c>
      <c r="S22" s="5">
        <f t="shared" si="1"/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3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5">
        <f t="shared" si="0"/>
        <v>2.8284271247461903</v>
      </c>
      <c r="O23" s="2">
        <v>4</v>
      </c>
      <c r="P23" s="2">
        <v>4</v>
      </c>
      <c r="Q23" s="2">
        <v>2</v>
      </c>
      <c r="R23" s="2" t="s">
        <v>5</v>
      </c>
      <c r="S23" s="5">
        <f t="shared" si="1"/>
        <v>3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3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5">
        <f t="shared" si="0"/>
        <v>3.1622776601683795</v>
      </c>
      <c r="O24" s="2">
        <v>3</v>
      </c>
      <c r="P24" s="2">
        <v>3</v>
      </c>
      <c r="Q24" s="2">
        <v>2</v>
      </c>
      <c r="R24" s="2" t="s">
        <v>4</v>
      </c>
      <c r="S24" s="5">
        <f t="shared" si="1"/>
        <v>3.1622776601683795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3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5">
        <f t="shared" si="0"/>
        <v>4.1231056256176606</v>
      </c>
      <c r="O25" s="2">
        <v>7</v>
      </c>
      <c r="P25" s="2">
        <v>7</v>
      </c>
      <c r="Q25" s="2">
        <v>4</v>
      </c>
      <c r="R25" s="2" t="s">
        <v>4</v>
      </c>
      <c r="S25" s="5">
        <f t="shared" si="1"/>
        <v>3.1622776601683795</v>
      </c>
      <c r="U25" t="s">
        <v>19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3">
      <c r="H26" s="2">
        <v>9</v>
      </c>
      <c r="I26" s="2">
        <v>9</v>
      </c>
      <c r="J26" s="2">
        <v>5</v>
      </c>
      <c r="K26" s="2" t="s">
        <v>5</v>
      </c>
      <c r="L26" s="5">
        <f t="shared" si="0"/>
        <v>5</v>
      </c>
      <c r="O26" s="2">
        <v>11</v>
      </c>
      <c r="P26" s="2">
        <v>1</v>
      </c>
      <c r="Q26" s="2">
        <v>6</v>
      </c>
      <c r="R26" s="2" t="s">
        <v>5</v>
      </c>
      <c r="S26" s="5">
        <f t="shared" si="1"/>
        <v>3.1622776601683795</v>
      </c>
      <c r="U26" s="17" t="s">
        <v>20</v>
      </c>
      <c r="V26" s="17"/>
      <c r="W26" s="17"/>
      <c r="X26" s="17"/>
      <c r="Y26" s="17"/>
      <c r="Z26" s="17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3">
      <c r="H27" s="2">
        <v>10</v>
      </c>
      <c r="I27" s="2">
        <v>10</v>
      </c>
      <c r="J27" s="2">
        <v>5</v>
      </c>
      <c r="K27" s="2" t="s">
        <v>4</v>
      </c>
      <c r="L27" s="5">
        <f t="shared" si="0"/>
        <v>6</v>
      </c>
      <c r="O27" s="2">
        <v>15</v>
      </c>
      <c r="P27" s="2">
        <v>5</v>
      </c>
      <c r="Q27" s="2">
        <v>8</v>
      </c>
      <c r="R27" s="2" t="s">
        <v>5</v>
      </c>
      <c r="S27" s="5">
        <f t="shared" si="1"/>
        <v>3.1622776601683795</v>
      </c>
      <c r="U27" s="17"/>
      <c r="V27" s="17"/>
      <c r="W27" s="17"/>
      <c r="X27" s="17"/>
      <c r="Y27" s="17"/>
      <c r="Z27" s="17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3">
      <c r="H28" s="2">
        <v>11</v>
      </c>
      <c r="I28" s="2">
        <v>1</v>
      </c>
      <c r="J28" s="2">
        <v>6</v>
      </c>
      <c r="K28" s="2" t="s">
        <v>5</v>
      </c>
      <c r="L28" s="5">
        <f t="shared" si="0"/>
        <v>3.1622776601683795</v>
      </c>
      <c r="O28" s="2">
        <v>16</v>
      </c>
      <c r="P28" s="2">
        <v>6</v>
      </c>
      <c r="Q28" s="2">
        <v>8</v>
      </c>
      <c r="R28" s="2" t="s">
        <v>5</v>
      </c>
      <c r="S28" s="5">
        <f t="shared" si="1"/>
        <v>3.6055512754639891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3">
      <c r="H29" s="2">
        <v>12</v>
      </c>
      <c r="I29" s="2">
        <v>2</v>
      </c>
      <c r="J29" s="2">
        <v>6</v>
      </c>
      <c r="K29" s="2" t="s">
        <v>5</v>
      </c>
      <c r="L29" s="5">
        <f t="shared" si="0"/>
        <v>2.2360679774997898</v>
      </c>
      <c r="O29" s="2">
        <v>8</v>
      </c>
      <c r="P29" s="2">
        <v>8</v>
      </c>
      <c r="Q29" s="2">
        <v>4</v>
      </c>
      <c r="R29" s="2" t="s">
        <v>4</v>
      </c>
      <c r="S29" s="5">
        <f t="shared" si="1"/>
        <v>4.1231056256176606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3">
      <c r="H30" s="2">
        <v>13</v>
      </c>
      <c r="I30" s="2">
        <v>3</v>
      </c>
      <c r="J30" s="2">
        <v>7</v>
      </c>
      <c r="K30" s="2" t="s">
        <v>4</v>
      </c>
      <c r="L30" s="5">
        <f t="shared" si="0"/>
        <v>2.2360679774997898</v>
      </c>
      <c r="O30" s="2">
        <v>2</v>
      </c>
      <c r="P30" s="2">
        <v>2</v>
      </c>
      <c r="Q30" s="2">
        <v>1</v>
      </c>
      <c r="R30" s="2" t="s">
        <v>4</v>
      </c>
      <c r="S30" s="5">
        <f t="shared" si="1"/>
        <v>4.4721359549995796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3">
      <c r="H31" s="2">
        <v>14</v>
      </c>
      <c r="I31" s="2">
        <v>4</v>
      </c>
      <c r="J31" s="2">
        <v>7</v>
      </c>
      <c r="K31" s="2" t="s">
        <v>4</v>
      </c>
      <c r="L31" s="5">
        <f t="shared" si="0"/>
        <v>2</v>
      </c>
      <c r="O31" s="2">
        <v>1</v>
      </c>
      <c r="P31" s="2">
        <v>1</v>
      </c>
      <c r="Q31" s="2">
        <v>1</v>
      </c>
      <c r="R31" s="2" t="s">
        <v>4</v>
      </c>
      <c r="S31" s="5">
        <f t="shared" si="1"/>
        <v>5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3">
      <c r="H32" s="2">
        <v>15</v>
      </c>
      <c r="I32" s="2">
        <v>5</v>
      </c>
      <c r="J32" s="2">
        <v>8</v>
      </c>
      <c r="K32" s="2" t="s">
        <v>5</v>
      </c>
      <c r="L32" s="5">
        <f t="shared" si="0"/>
        <v>3.1622776601683795</v>
      </c>
      <c r="O32" s="2">
        <v>9</v>
      </c>
      <c r="P32" s="2">
        <v>9</v>
      </c>
      <c r="Q32" s="2">
        <v>5</v>
      </c>
      <c r="R32" s="2" t="s">
        <v>5</v>
      </c>
      <c r="S32" s="5">
        <f t="shared" si="1"/>
        <v>5</v>
      </c>
    </row>
    <row r="33" spans="8:31" x14ac:dyDescent="0.3">
      <c r="H33" s="2">
        <v>16</v>
      </c>
      <c r="I33" s="2">
        <v>6</v>
      </c>
      <c r="J33" s="2">
        <v>8</v>
      </c>
      <c r="K33" s="2" t="s">
        <v>5</v>
      </c>
      <c r="L33" s="5">
        <f t="shared" si="0"/>
        <v>3.6055512754639891</v>
      </c>
      <c r="O33" s="2">
        <v>17</v>
      </c>
      <c r="P33" s="2">
        <v>7</v>
      </c>
      <c r="Q33" s="2">
        <v>9</v>
      </c>
      <c r="R33" s="2" t="s">
        <v>4</v>
      </c>
      <c r="S33" s="5">
        <f t="shared" si="1"/>
        <v>5</v>
      </c>
    </row>
    <row r="34" spans="8:31" x14ac:dyDescent="0.3">
      <c r="H34" s="2">
        <v>17</v>
      </c>
      <c r="I34" s="2">
        <v>7</v>
      </c>
      <c r="J34" s="2">
        <v>9</v>
      </c>
      <c r="K34" s="2" t="s">
        <v>4</v>
      </c>
      <c r="L34" s="5">
        <f t="shared" si="0"/>
        <v>5</v>
      </c>
      <c r="O34" s="2">
        <v>18</v>
      </c>
      <c r="P34" s="2">
        <v>8</v>
      </c>
      <c r="Q34" s="2">
        <v>9</v>
      </c>
      <c r="R34" s="2" t="s">
        <v>4</v>
      </c>
      <c r="S34" s="5">
        <f t="shared" si="1"/>
        <v>5.6568542494923806</v>
      </c>
      <c r="AA34" s="13" t="s">
        <v>23</v>
      </c>
      <c r="AB34" s="13"/>
      <c r="AC34" s="13"/>
      <c r="AD34" s="13"/>
    </row>
    <row r="35" spans="8:31" x14ac:dyDescent="0.3">
      <c r="H35" s="2">
        <v>18</v>
      </c>
      <c r="I35" s="2">
        <v>8</v>
      </c>
      <c r="J35" s="2">
        <v>9</v>
      </c>
      <c r="K35" s="2" t="s">
        <v>4</v>
      </c>
      <c r="L35" s="5">
        <f t="shared" si="0"/>
        <v>5.6568542494923806</v>
      </c>
      <c r="O35" s="2">
        <v>10</v>
      </c>
      <c r="P35" s="2">
        <v>10</v>
      </c>
      <c r="Q35" s="2">
        <v>5</v>
      </c>
      <c r="R35" s="2" t="s">
        <v>4</v>
      </c>
      <c r="S35" s="5">
        <f t="shared" si="1"/>
        <v>6</v>
      </c>
      <c r="AA35" s="13"/>
      <c r="AB35" s="13"/>
      <c r="AC35" s="13"/>
      <c r="AD35" s="13"/>
    </row>
    <row r="36" spans="8:31" x14ac:dyDescent="0.3">
      <c r="H36" s="2">
        <v>19</v>
      </c>
      <c r="I36" s="2">
        <v>9</v>
      </c>
      <c r="J36" s="2">
        <v>10</v>
      </c>
      <c r="K36" s="2" t="s">
        <v>5</v>
      </c>
      <c r="L36" s="5">
        <f t="shared" si="0"/>
        <v>7.0710678118654755</v>
      </c>
      <c r="O36" s="2">
        <v>19</v>
      </c>
      <c r="P36" s="2">
        <v>9</v>
      </c>
      <c r="Q36" s="2">
        <v>10</v>
      </c>
      <c r="R36" s="2" t="s">
        <v>5</v>
      </c>
      <c r="S36" s="5">
        <f t="shared" si="1"/>
        <v>7.0710678118654755</v>
      </c>
    </row>
    <row r="37" spans="8:31" ht="28.8" x14ac:dyDescent="0.3">
      <c r="H37" s="2">
        <v>20</v>
      </c>
      <c r="I37" s="2">
        <v>10</v>
      </c>
      <c r="J37" s="2">
        <v>10</v>
      </c>
      <c r="K37" s="2" t="s">
        <v>4</v>
      </c>
      <c r="L37" s="5">
        <f t="shared" si="0"/>
        <v>7.810249675906654</v>
      </c>
      <c r="O37" s="2">
        <v>20</v>
      </c>
      <c r="P37" s="2">
        <v>10</v>
      </c>
      <c r="Q37" s="2">
        <v>10</v>
      </c>
      <c r="R37" s="2" t="s">
        <v>4</v>
      </c>
      <c r="S37" s="5">
        <f t="shared" si="1"/>
        <v>7.810249675906654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11</v>
      </c>
    </row>
    <row r="38" spans="8:31" x14ac:dyDescent="0.3">
      <c r="AA38" s="8">
        <v>14</v>
      </c>
      <c r="AB38" s="8">
        <v>4</v>
      </c>
      <c r="AC38" s="8">
        <v>7</v>
      </c>
      <c r="AD38" s="8" t="s">
        <v>4</v>
      </c>
      <c r="AE38" s="9">
        <f t="shared" ref="AE38:AE57" si="2">SQRT((AB38-4)^2+(AC38-5)^2)</f>
        <v>2</v>
      </c>
    </row>
    <row r="39" spans="8:31" x14ac:dyDescent="0.3">
      <c r="AA39" s="8">
        <v>5</v>
      </c>
      <c r="AB39" s="8">
        <v>5</v>
      </c>
      <c r="AC39" s="8">
        <v>3</v>
      </c>
      <c r="AD39" s="8" t="s">
        <v>5</v>
      </c>
      <c r="AE39" s="9">
        <f t="shared" si="2"/>
        <v>2.2360679774997898</v>
      </c>
    </row>
    <row r="40" spans="8:31" x14ac:dyDescent="0.3">
      <c r="AA40" s="8">
        <v>12</v>
      </c>
      <c r="AB40" s="8">
        <v>2</v>
      </c>
      <c r="AC40" s="8">
        <v>6</v>
      </c>
      <c r="AD40" s="8" t="s">
        <v>5</v>
      </c>
      <c r="AE40" s="9">
        <f t="shared" si="2"/>
        <v>2.2360679774997898</v>
      </c>
    </row>
    <row r="41" spans="8:31" x14ac:dyDescent="0.3">
      <c r="AA41" s="2">
        <v>13</v>
      </c>
      <c r="AB41" s="2">
        <v>3</v>
      </c>
      <c r="AC41" s="2">
        <v>7</v>
      </c>
      <c r="AD41" s="2" t="s">
        <v>4</v>
      </c>
      <c r="AE41" s="5">
        <f t="shared" si="2"/>
        <v>2.2360679774997898</v>
      </c>
    </row>
    <row r="42" spans="8:31" x14ac:dyDescent="0.3">
      <c r="AA42" s="2">
        <v>6</v>
      </c>
      <c r="AB42" s="2">
        <v>6</v>
      </c>
      <c r="AC42" s="2">
        <v>3</v>
      </c>
      <c r="AD42" s="2" t="s">
        <v>5</v>
      </c>
      <c r="AE42" s="5">
        <f t="shared" si="2"/>
        <v>2.8284271247461903</v>
      </c>
    </row>
    <row r="43" spans="8:31" x14ac:dyDescent="0.3">
      <c r="AA43" s="2">
        <v>4</v>
      </c>
      <c r="AB43" s="2">
        <v>4</v>
      </c>
      <c r="AC43" s="2">
        <v>2</v>
      </c>
      <c r="AD43" s="2" t="s">
        <v>5</v>
      </c>
      <c r="AE43" s="5">
        <f t="shared" si="2"/>
        <v>3</v>
      </c>
    </row>
    <row r="44" spans="8:31" x14ac:dyDescent="0.3">
      <c r="AA44" s="2">
        <v>3</v>
      </c>
      <c r="AB44" s="2">
        <v>3</v>
      </c>
      <c r="AC44" s="2">
        <v>2</v>
      </c>
      <c r="AD44" s="2" t="s">
        <v>4</v>
      </c>
      <c r="AE44" s="5">
        <f t="shared" si="2"/>
        <v>3.1622776601683795</v>
      </c>
    </row>
    <row r="45" spans="8:31" x14ac:dyDescent="0.3">
      <c r="AA45" s="2">
        <v>7</v>
      </c>
      <c r="AB45" s="2">
        <v>7</v>
      </c>
      <c r="AC45" s="2">
        <v>4</v>
      </c>
      <c r="AD45" s="2" t="s">
        <v>4</v>
      </c>
      <c r="AE45" s="5">
        <f t="shared" si="2"/>
        <v>3.1622776601683795</v>
      </c>
    </row>
    <row r="46" spans="8:31" x14ac:dyDescent="0.3">
      <c r="AA46" s="2">
        <v>11</v>
      </c>
      <c r="AB46" s="2">
        <v>1</v>
      </c>
      <c r="AC46" s="2">
        <v>6</v>
      </c>
      <c r="AD46" s="2" t="s">
        <v>5</v>
      </c>
      <c r="AE46" s="5">
        <f t="shared" si="2"/>
        <v>3.1622776601683795</v>
      </c>
    </row>
    <row r="47" spans="8:31" x14ac:dyDescent="0.3">
      <c r="AA47" s="2">
        <v>15</v>
      </c>
      <c r="AB47" s="2">
        <v>5</v>
      </c>
      <c r="AC47" s="2">
        <v>8</v>
      </c>
      <c r="AD47" s="2" t="s">
        <v>5</v>
      </c>
      <c r="AE47" s="5">
        <f t="shared" si="2"/>
        <v>3.1622776601683795</v>
      </c>
    </row>
    <row r="48" spans="8:31" x14ac:dyDescent="0.3">
      <c r="AA48" s="2">
        <v>16</v>
      </c>
      <c r="AB48" s="2">
        <v>6</v>
      </c>
      <c r="AC48" s="2">
        <v>8</v>
      </c>
      <c r="AD48" s="2" t="s">
        <v>5</v>
      </c>
      <c r="AE48" s="5">
        <f t="shared" si="2"/>
        <v>3.6055512754639891</v>
      </c>
    </row>
    <row r="49" spans="27:31" x14ac:dyDescent="0.3">
      <c r="AA49" s="2">
        <v>8</v>
      </c>
      <c r="AB49" s="2">
        <v>8</v>
      </c>
      <c r="AC49" s="2">
        <v>4</v>
      </c>
      <c r="AD49" s="2" t="s">
        <v>4</v>
      </c>
      <c r="AE49" s="5">
        <f t="shared" si="2"/>
        <v>4.1231056256176606</v>
      </c>
    </row>
    <row r="50" spans="27:31" x14ac:dyDescent="0.3">
      <c r="AA50" s="2">
        <v>2</v>
      </c>
      <c r="AB50" s="2">
        <v>2</v>
      </c>
      <c r="AC50" s="2">
        <v>1</v>
      </c>
      <c r="AD50" s="2" t="s">
        <v>4</v>
      </c>
      <c r="AE50" s="5">
        <f t="shared" si="2"/>
        <v>4.4721359549995796</v>
      </c>
    </row>
    <row r="51" spans="27:31" x14ac:dyDescent="0.3">
      <c r="AA51" s="2">
        <v>1</v>
      </c>
      <c r="AB51" s="2">
        <v>1</v>
      </c>
      <c r="AC51" s="2">
        <v>1</v>
      </c>
      <c r="AD51" s="2" t="s">
        <v>4</v>
      </c>
      <c r="AE51" s="5">
        <f t="shared" si="2"/>
        <v>5</v>
      </c>
    </row>
    <row r="52" spans="27:31" x14ac:dyDescent="0.3">
      <c r="AA52" s="2">
        <v>9</v>
      </c>
      <c r="AB52" s="2">
        <v>9</v>
      </c>
      <c r="AC52" s="2">
        <v>5</v>
      </c>
      <c r="AD52" s="2" t="s">
        <v>5</v>
      </c>
      <c r="AE52" s="5">
        <f t="shared" si="2"/>
        <v>5</v>
      </c>
    </row>
    <row r="53" spans="27:31" x14ac:dyDescent="0.3">
      <c r="AA53" s="2">
        <v>17</v>
      </c>
      <c r="AB53" s="2">
        <v>7</v>
      </c>
      <c r="AC53" s="2">
        <v>9</v>
      </c>
      <c r="AD53" s="2" t="s">
        <v>4</v>
      </c>
      <c r="AE53" s="5">
        <f t="shared" si="2"/>
        <v>5</v>
      </c>
    </row>
    <row r="54" spans="27:31" x14ac:dyDescent="0.3">
      <c r="AA54" s="2">
        <v>18</v>
      </c>
      <c r="AB54" s="2">
        <v>8</v>
      </c>
      <c r="AC54" s="2">
        <v>9</v>
      </c>
      <c r="AD54" s="2" t="s">
        <v>4</v>
      </c>
      <c r="AE54" s="5">
        <f t="shared" si="2"/>
        <v>5.6568542494923806</v>
      </c>
    </row>
    <row r="55" spans="27:31" x14ac:dyDescent="0.3">
      <c r="AA55" s="2">
        <v>10</v>
      </c>
      <c r="AB55" s="2">
        <v>10</v>
      </c>
      <c r="AC55" s="2">
        <v>5</v>
      </c>
      <c r="AD55" s="2" t="s">
        <v>4</v>
      </c>
      <c r="AE55" s="5">
        <f t="shared" si="2"/>
        <v>6</v>
      </c>
    </row>
    <row r="56" spans="27:31" x14ac:dyDescent="0.3">
      <c r="AA56" s="2">
        <v>19</v>
      </c>
      <c r="AB56" s="2">
        <v>9</v>
      </c>
      <c r="AC56" s="2">
        <v>10</v>
      </c>
      <c r="AD56" s="2" t="s">
        <v>5</v>
      </c>
      <c r="AE56" s="5">
        <f t="shared" si="2"/>
        <v>7.0710678118654755</v>
      </c>
    </row>
    <row r="57" spans="27:31" x14ac:dyDescent="0.3">
      <c r="AA57" s="2">
        <v>20</v>
      </c>
      <c r="AB57" s="2">
        <v>10</v>
      </c>
      <c r="AC57" s="2">
        <v>10</v>
      </c>
      <c r="AD57" s="2" t="s">
        <v>4</v>
      </c>
      <c r="AE57" s="5">
        <f t="shared" si="2"/>
        <v>7.810249675906654</v>
      </c>
    </row>
  </sheetData>
  <sortState xmlns:xlrd2="http://schemas.microsoft.com/office/spreadsheetml/2017/richdata2" ref="O18:S37">
    <sortCondition ref="S17:S36"/>
  </sortState>
  <mergeCells count="7"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Hands 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Ezha Tri Saputra</cp:lastModifiedBy>
  <dcterms:created xsi:type="dcterms:W3CDTF">2025-03-25T06:11:06Z</dcterms:created>
  <dcterms:modified xsi:type="dcterms:W3CDTF">2025-12-07T16:53:50Z</dcterms:modified>
</cp:coreProperties>
</file>